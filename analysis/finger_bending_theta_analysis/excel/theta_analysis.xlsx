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9252b846e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c6bf90e5ae4fbe"/>
    <x:sheet xmlns:r="http://schemas.openxmlformats.org/officeDocument/2006/relationships" name="Corrected Angles" sheetId="2" r:id="R6a2e2a871bdf4ea2"/>
    <x:sheet xmlns:r="http://schemas.openxmlformats.org/officeDocument/2006/relationships" name="Manual Points" sheetId="3" r:id="R531b6116d1884605"/>
    <x:sheet xmlns:r="http://schemas.openxmlformats.org/officeDocument/2006/relationships" name="Correction Report" sheetId="4" r:id="R8542b3539484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9" xfId="0" applyNumberFormat="1" applyFont="1" applyFill="1" applyBorder="1"/>
    <x:xf numFmtId="200" fontId="0" fillId="0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8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9" xfId="0" applyNumberFormat="1" applyFont="1" applyFill="1" applyBorder="1"/>
    <x:xf numFmtId="201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5" fillId="0" borderId="2" xfId="0" applyNumberFormat="1" applyFont="1" applyFill="1" applyBorder="1"/>
    <x:xf numFmtId="0" fontId="6" fillId="3" borderId="3" xfId="0" applyNumberFormat="1" applyFont="1" applyFill="1" applyBorder="1"/>
    <x:xf numFmtId="0" fontId="5" fillId="0" borderId="4" xfId="0" applyNumberFormat="1" applyFont="1" applyFill="1" applyBorder="1"/>
    <x:xf numFmtId="0" fontId="6" fillId="3" borderId="5" xfId="0" applyNumberFormat="1" applyFont="1" applyFill="1" applyBorder="1"/>
    <x:xf numFmtId="0" fontId="5" fillId="0" borderId="6" xfId="0" applyNumberFormat="1" applyFont="1" applyFill="1" applyBorder="1"/>
    <x:xf numFmtId="0" fontId="7" fillId="2" borderId="1" xfId="0" applyNumberFormat="1" applyFont="1" applyFill="1" applyBorder="1"/>
    <x:xf numFmtId="0" fontId="7" fillId="2" borderId="7" xfId="0" applyNumberFormat="1" applyFont="1" applyFill="1" applyBorder="1"/>
    <x:xf numFmtId="0" fontId="7" fillId="2" borderId="2" xfId="0" applyNumberFormat="1" applyFont="1" applyFill="1" applyBorder="1"/>
    <x:xf numFmtId="200" fontId="5" fillId="0" borderId="3" xfId="0" applyNumberFormat="1" applyFont="1" applyFill="1" applyBorder="1"/>
    <x:xf numFmtId="200" fontId="5" fillId="0" borderId="8" xfId="0" applyNumberFormat="1" applyFont="1" applyFill="1" applyBorder="1"/>
    <x:xf numFmtId="200" fontId="5" fillId="0" borderId="4" xfId="0" applyNumberFormat="1" applyFont="1" applyFill="1" applyBorder="1"/>
    <x:xf numFmtId="200" fontId="5" fillId="0" borderId="5" xfId="0" applyNumberFormat="1" applyFont="1" applyFill="1" applyBorder="1"/>
    <x:xf numFmtId="200" fontId="5" fillId="0" borderId="9" xfId="0" applyNumberFormat="1" applyFont="1" applyFill="1" applyBorder="1"/>
    <x:xf numFmtId="200" fontId="5" fillId="0" borderId="6" xfId="0" applyNumberFormat="1" applyFont="1" applyFill="1" applyBorder="1"/>
    <x:xf numFmtId="201" fontId="5" fillId="0" borderId="3" xfId="0" applyNumberFormat="1" applyFont="1" applyFill="1" applyBorder="1"/>
    <x:xf numFmtId="201" fontId="5" fillId="0" borderId="8" xfId="0" applyNumberFormat="1" applyFont="1" applyFill="1" applyBorder="1"/>
    <x:xf numFmtId="201" fontId="5" fillId="0" borderId="4" xfId="0" applyNumberFormat="1" applyFont="1" applyFill="1" applyBorder="1"/>
    <x:xf numFmtId="201" fontId="5" fillId="0" borderId="5" xfId="0" applyNumberFormat="1" applyFont="1" applyFill="1" applyBorder="1"/>
    <x:xf numFmtId="201" fontId="5" fillId="0" borderId="9" xfId="0" applyNumberFormat="1" applyFont="1" applyFill="1" applyBorder="1"/>
    <x:xf numFmtId="201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dfbb623ce4476" /><Relationship Type="http://schemas.openxmlformats.org/officeDocument/2006/relationships/theme" Target="/xl/theme/theme1.xml" Id="Ra8da38e54d2349be" /><Relationship Type="http://schemas.openxmlformats.org/officeDocument/2006/relationships/sharedStrings" Target="/xl/sharedStrings.xml" Id="R8449d08217ce47b4" /><Relationship Type="http://schemas.openxmlformats.org/officeDocument/2006/relationships/worksheet" Target="/xl/worksheets/sheet1.xml" Id="R2cc6bf90e5ae4fbe" /><Relationship Type="http://schemas.openxmlformats.org/officeDocument/2006/relationships/worksheet" Target="/xl/worksheets/sheet2.xml" Id="R6a2e2a871bdf4ea2" /><Relationship Type="http://schemas.openxmlformats.org/officeDocument/2006/relationships/worksheet" Target="/xl/worksheets/sheet3.xml" Id="R531b6116d1884605" /><Relationship Type="http://schemas.openxmlformats.org/officeDocument/2006/relationships/worksheet" Target="/xl/worksheets/sheet4.xml" Id="R8542b35394844c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ca935735864c9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4381500" cy="2857500"/>
    <xdr:pic>
      <xdr:nvPicPr>
        <xdr:cNvPr id="1" name="436ee084-74bb-424c-a595-142ff7e678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ca93573586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89dc3abfac4e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39.130001068115234" hidden="0" customWidth="1"/>
    <x:col min="3" max="3" width="7.630000114440918" hidden="0" customWidth="1"/>
  </x:cols>
  <x:sheetData>
    <x:row r="1" ht="19.200000762939453" hidden="0" customHeight="1">
      <x:c r="A1" s="33" t="str">
        <x:v>θ1 / θ2 Finger Bending Angle Analysis</x:v>
      </x:c>
      <x:c r="B1" s="34"/>
      <x:c r="C1" s="34"/>
    </x:row>
    <x:row r="2" ht="15" hidden="0" customHeight="1">
      <x:c r="A2" s="34"/>
      <x:c r="B2" s="34"/>
      <x:c r="C2" s="34"/>
    </x:row>
    <x:row r="3" ht="15" hidden="0" customHeight="1">
      <x:c r="A3" s="35" t="str">
        <x:v>Definition</x:v>
      </x:c>
      <x:c r="B3" s="36" t="str">
        <x:v>Local joint bending angle</x:v>
      </x:c>
      <x:c r="C3" s="34"/>
    </x:row>
    <x:row r="4" ht="15" hidden="0" customHeight="1">
      <x:c r="A4" s="37" t="str">
        <x:v>θ1</x:v>
      </x:c>
      <x:c r="B4" s="38" t="str">
        <x:v>180° - angle(A1, J1, B1)</x:v>
      </x:c>
      <x:c r="C4" s="34"/>
    </x:row>
    <x:row r="5" ht="15" hidden="0" customHeight="1">
      <x:c r="A5" s="37" t="str">
        <x:v>θ2</x:v>
      </x:c>
      <x:c r="B5" s="38" t="str">
        <x:v>180° - angle(A2, J2, B2)</x:v>
      </x:c>
      <x:c r="C5" s="34"/>
    </x:row>
    <x:row r="6" ht="15" hidden="0" customHeight="1">
      <x:c r="A6" s="37" t="str">
        <x:v>Sampling</x:v>
      </x:c>
      <x:c r="B6" s="38" t="str">
        <x:v>0.5 s</x:v>
      </x:c>
      <x:c r="C6" s="34"/>
    </x:row>
    <x:row r="7" ht="15" hidden="0" customHeight="1">
      <x:c r="A7" s="39" t="str">
        <x:v>Correction</x:v>
      </x:c>
      <x:c r="B7" s="40" t="str">
        <x:v>0.0-1.0 s fixed to 0; small late θ1 jitter corrected</x:v>
      </x:c>
      <x:c r="C7" s="34"/>
    </x:row>
    <x:row r="8" ht="15" hidden="0" customHeight="1">
      <x:c r="A8" s="34"/>
      <x:c r="B8" s="34"/>
      <x:c r="C8" s="34"/>
    </x:row>
    <x:row r="9" ht="15" hidden="0" customHeight="1">
      <x:c r="A9" s="34"/>
      <x:c r="B9" s="34"/>
      <x:c r="C9" s="34"/>
    </x:row>
    <x:row r="10" ht="15" hidden="0" customHeight="1">
      <x:c r="A10" s="41" t="str">
        <x:v>Time (s)</x:v>
      </x:c>
      <x:c r="B10" s="42" t="str">
        <x:v>θ1 (deg)</x:v>
      </x:c>
      <x:c r="C10" s="43" t="str">
        <x:v>θ2 (deg)</x:v>
      </x:c>
    </x:row>
    <x:row r="11" ht="15" hidden="0" customHeight="1">
      <x:c r="A11" s="44" t="n">
        <x:v>0</x:v>
      </x:c>
      <x:c r="B11" s="45" t="n">
        <x:v>0</x:v>
      </x:c>
      <x:c r="C11" s="46" t="n">
        <x:v>0</x:v>
      </x:c>
    </x:row>
    <x:row r="12" ht="15" hidden="0" customHeight="1">
      <x:c r="A12" s="44" t="n">
        <x:v>0.5</x:v>
      </x:c>
      <x:c r="B12" s="45" t="n">
        <x:v>0</x:v>
      </x:c>
      <x:c r="C12" s="46" t="n">
        <x:v>0</x:v>
      </x:c>
    </x:row>
    <x:row r="13" ht="15" hidden="0" customHeight="1">
      <x:c r="A13" s="44" t="n">
        <x:v>1</x:v>
      </x:c>
      <x:c r="B13" s="45" t="n">
        <x:v>0</x:v>
      </x:c>
      <x:c r="C13" s="46" t="n">
        <x:v>0</x:v>
      </x:c>
    </x:row>
    <x:row r="14" ht="15" hidden="0" customHeight="1">
      <x:c r="A14" s="44" t="n">
        <x:v>1.5</x:v>
      </x:c>
      <x:c r="B14" s="45" t="n">
        <x:v>8.031666</x:v>
      </x:c>
      <x:c r="C14" s="46" t="n">
        <x:v>10.315129</x:v>
      </x:c>
    </x:row>
    <x:row r="15" ht="15" hidden="0" customHeight="1">
      <x:c r="A15" s="44" t="n">
        <x:v>2</x:v>
      </x:c>
      <x:c r="B15" s="45" t="n">
        <x:v>34.476511</x:v>
      </x:c>
      <x:c r="C15" s="46" t="n">
        <x:v>35.324631</x:v>
      </x:c>
    </x:row>
    <x:row r="16" ht="15" hidden="0" customHeight="1">
      <x:c r="A16" s="44" t="n">
        <x:v>2.5</x:v>
      </x:c>
      <x:c r="B16" s="45" t="n">
        <x:v>35.90981</x:v>
      </x:c>
      <x:c r="C16" s="46" t="n">
        <x:v>50.389481</x:v>
      </x:c>
    </x:row>
    <x:row r="17" ht="15" hidden="0" customHeight="1">
      <x:c r="A17" s="44" t="n">
        <x:v>3</x:v>
      </x:c>
      <x:c r="B17" s="45" t="n">
        <x:v>48.1525555</x:v>
      </x:c>
      <x:c r="C17" s="46" t="n">
        <x:v>54.711975</x:v>
      </x:c>
    </x:row>
    <x:row r="18" ht="15" hidden="0" customHeight="1">
      <x:c r="A18" s="44" t="n">
        <x:v>3.5</x:v>
      </x:c>
      <x:c r="B18" s="45" t="n">
        <x:v>48.1525555</x:v>
      </x:c>
      <x:c r="C18" s="46" t="n">
        <x:v>58.439003</x:v>
      </x:c>
    </x:row>
    <x:row r="19" ht="15" hidden="0" customHeight="1">
      <x:c r="A19" s="44" t="n">
        <x:v>4</x:v>
      </x:c>
      <x:c r="B19" s="45" t="n">
        <x:v>62.86487100000001</x:v>
      </x:c>
      <x:c r="C19" s="46" t="n">
        <x:v>60.256878</x:v>
      </x:c>
    </x:row>
    <x:row r="20" ht="15" hidden="0" customHeight="1">
      <x:c r="A20" s="44" t="n">
        <x:v>4.5</x:v>
      </x:c>
      <x:c r="B20" s="45" t="n">
        <x:v>62.86487100000001</x:v>
      </x:c>
      <x:c r="C20" s="46" t="n">
        <x:v>60.256878</x:v>
      </x:c>
    </x:row>
    <x:row r="21" ht="15" hidden="0" customHeight="1">
      <x:c r="A21" s="44" t="n">
        <x:v>5</x:v>
      </x:c>
      <x:c r="B21" s="45" t="n">
        <x:v>65.60561849999999</x:v>
      </x:c>
      <x:c r="C21" s="46" t="n">
        <x:v>67.5353</x:v>
      </x:c>
    </x:row>
    <x:row r="22" ht="15" hidden="0" customHeight="1">
      <x:c r="A22" s="47" t="n">
        <x:v>5.5</x:v>
      </x:c>
      <x:c r="B22" s="48" t="n">
        <x:v>65.60561849999999</x:v>
      </x:c>
      <x:c r="C22" s="49" t="n">
        <x:v>68.763129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389dc3abfac4e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1.880000114440918" hidden="0" customWidth="1"/>
    <x:col min="3" max="3" width="11.880000114440918" hidden="0" customWidth="1"/>
    <x:col min="4" max="4" width="16.75" hidden="0" customWidth="1"/>
    <x:col min="5" max="5" width="16.75" hidden="0" customWidth="1"/>
    <x:col min="6" max="6" width="17" hidden="0" customWidth="1"/>
    <x:col min="7" max="7" width="17" hidden="0" customWidth="1"/>
  </x:cols>
  <x:sheetData>
    <x:row r="1" ht="15" hidden="0" customHeight="1">
      <x:c r="A1" s="41" t="str">
        <x:v>Time (s)</x:v>
      </x:c>
      <x:c r="B1" s="42" t="str">
        <x:v>Raw θ1 (deg)</x:v>
      </x:c>
      <x:c r="C1" s="42" t="str">
        <x:v>Raw θ2 (deg)</x:v>
      </x:c>
      <x:c r="D1" s="42" t="str">
        <x:v>Corrected θ1 (deg)</x:v>
      </x:c>
      <x:c r="E1" s="42" t="str">
        <x:v>Corrected θ2 (deg)</x:v>
      </x:c>
      <x:c r="F1" s="42" t="str">
        <x:v>θ1 correction (deg)</x:v>
      </x:c>
      <x:c r="G1" s="43" t="str">
        <x:v>θ2 correction (deg)</x:v>
      </x:c>
    </x:row>
    <x:row r="2" ht="15" hidden="0" customHeight="1">
      <x:c r="A2" s="50" t="n">
        <x:v>0</x:v>
      </x:c>
      <x:c r="B2" s="51" t="n">
        <x:v>2.902826</x:v>
      </x:c>
      <x:c r="C2" s="51" t="n">
        <x:v>3.060651</x:v>
      </x:c>
      <x:c r="D2" s="51" t="n">
        <x:v>0</x:v>
      </x:c>
      <x:c r="E2" s="51" t="n">
        <x:v>0</x:v>
      </x:c>
      <x:c r="F2" s="51" t="n">
        <x:v>-2.902826</x:v>
      </x:c>
      <x:c r="G2" s="52" t="n">
        <x:v>-3.060651</x:v>
      </x:c>
    </x:row>
    <x:row r="3" ht="15" hidden="0" customHeight="1">
      <x:c r="A3" s="50" t="n">
        <x:v>0.5</x:v>
      </x:c>
      <x:c r="B3" s="51" t="n">
        <x:v>2.72628</x:v>
      </x:c>
      <x:c r="C3" s="51" t="n">
        <x:v>1.684277</x:v>
      </x:c>
      <x:c r="D3" s="51" t="n">
        <x:v>0</x:v>
      </x:c>
      <x:c r="E3" s="51" t="n">
        <x:v>0</x:v>
      </x:c>
      <x:c r="F3" s="51" t="n">
        <x:v>-2.72628</x:v>
      </x:c>
      <x:c r="G3" s="52" t="n">
        <x:v>-1.684277</x:v>
      </x:c>
    </x:row>
    <x:row r="4" ht="15" hidden="0" customHeight="1">
      <x:c r="A4" s="50" t="n">
        <x:v>1</x:v>
      </x:c>
      <x:c r="B4" s="51" t="n">
        <x:v>0</x:v>
      </x:c>
      <x:c r="C4" s="51" t="n">
        <x:v>4.085546</x:v>
      </x:c>
      <x:c r="D4" s="51" t="n">
        <x:v>0</x:v>
      </x:c>
      <x:c r="E4" s="51" t="n">
        <x:v>0</x:v>
      </x:c>
      <x:c r="F4" s="51" t="n">
        <x:v>0</x:v>
      </x:c>
      <x:c r="G4" s="52" t="n">
        <x:v>-4.085546</x:v>
      </x:c>
    </x:row>
    <x:row r="5" ht="15" hidden="0" customHeight="1">
      <x:c r="A5" s="50" t="n">
        <x:v>1.5</x:v>
      </x:c>
      <x:c r="B5" s="51" t="n">
        <x:v>8.031666</x:v>
      </x:c>
      <x:c r="C5" s="51" t="n">
        <x:v>10.315129</x:v>
      </x:c>
      <x:c r="D5" s="51" t="n">
        <x:v>8.031666</x:v>
      </x:c>
      <x:c r="E5" s="51" t="n">
        <x:v>10.315129</x:v>
      </x:c>
      <x:c r="F5" s="51" t="n">
        <x:v>0</x:v>
      </x:c>
      <x:c r="G5" s="52" t="n">
        <x:v>0</x:v>
      </x:c>
    </x:row>
    <x:row r="6" ht="15" hidden="0" customHeight="1">
      <x:c r="A6" s="50" t="n">
        <x:v>2</x:v>
      </x:c>
      <x:c r="B6" s="51" t="n">
        <x:v>34.476511</x:v>
      </x:c>
      <x:c r="C6" s="51" t="n">
        <x:v>35.324631</x:v>
      </x:c>
      <x:c r="D6" s="51" t="n">
        <x:v>34.476511</x:v>
      </x:c>
      <x:c r="E6" s="51" t="n">
        <x:v>35.324631</x:v>
      </x:c>
      <x:c r="F6" s="51" t="n">
        <x:v>0</x:v>
      </x:c>
      <x:c r="G6" s="52" t="n">
        <x:v>0</x:v>
      </x:c>
    </x:row>
    <x:row r="7" ht="15" hidden="0" customHeight="1">
      <x:c r="A7" s="50" t="n">
        <x:v>2.5</x:v>
      </x:c>
      <x:c r="B7" s="51" t="n">
        <x:v>35.90981</x:v>
      </x:c>
      <x:c r="C7" s="51" t="n">
        <x:v>50.389481</x:v>
      </x:c>
      <x:c r="D7" s="51" t="n">
        <x:v>35.90981</x:v>
      </x:c>
      <x:c r="E7" s="51" t="n">
        <x:v>50.389481</x:v>
      </x:c>
      <x:c r="F7" s="51" t="n">
        <x:v>0</x:v>
      </x:c>
      <x:c r="G7" s="52" t="n">
        <x:v>0</x:v>
      </x:c>
    </x:row>
    <x:row r="8" ht="15" hidden="0" customHeight="1">
      <x:c r="A8" s="50" t="n">
        <x:v>3</x:v>
      </x:c>
      <x:c r="B8" s="51" t="n">
        <x:v>48.564577</x:v>
      </x:c>
      <x:c r="C8" s="51" t="n">
        <x:v>54.711975</x:v>
      </x:c>
      <x:c r="D8" s="51" t="n">
        <x:v>48.1525555</x:v>
      </x:c>
      <x:c r="E8" s="51" t="n">
        <x:v>54.711975</x:v>
      </x:c>
      <x:c r="F8" s="51" t="n">
        <x:v>-0.4120215000000016</x:v>
      </x:c>
      <x:c r="G8" s="52" t="n">
        <x:v>0</x:v>
      </x:c>
    </x:row>
    <x:row r="9" ht="15" hidden="0" customHeight="1">
      <x:c r="A9" s="50" t="n">
        <x:v>3.5</x:v>
      </x:c>
      <x:c r="B9" s="51" t="n">
        <x:v>47.740534</x:v>
      </x:c>
      <x:c r="C9" s="51" t="n">
        <x:v>58.439003</x:v>
      </x:c>
      <x:c r="D9" s="51" t="n">
        <x:v>48.1525555</x:v>
      </x:c>
      <x:c r="E9" s="51" t="n">
        <x:v>58.439003</x:v>
      </x:c>
      <x:c r="F9" s="51" t="n">
        <x:v>0.4120215000000016</x:v>
      </x:c>
      <x:c r="G9" s="52" t="n">
        <x:v>0</x:v>
      </x:c>
    </x:row>
    <x:row r="10" ht="15" hidden="0" customHeight="1">
      <x:c r="A10" s="50" t="n">
        <x:v>4</x:v>
      </x:c>
      <x:c r="B10" s="51" t="n">
        <x:v>67.169379</x:v>
      </x:c>
      <x:c r="C10" s="51" t="n">
        <x:v>60.43515</x:v>
      </x:c>
      <x:c r="D10" s="51" t="n">
        <x:v>62.86487100000001</x:v>
      </x:c>
      <x:c r="E10" s="51" t="n">
        <x:v>60.256878</x:v>
      </x:c>
      <x:c r="F10" s="51" t="n">
        <x:v>-4.3045079999999984</x:v>
      </x:c>
      <x:c r="G10" s="52" t="n">
        <x:v>-0.17827199999999976</x:v>
      </x:c>
    </x:row>
    <x:row r="11" ht="15" hidden="0" customHeight="1">
      <x:c r="A11" s="50" t="n">
        <x:v>4.5</x:v>
      </x:c>
      <x:c r="B11" s="51" t="n">
        <x:v>58.560363</x:v>
      </x:c>
      <x:c r="C11" s="51" t="n">
        <x:v>60.078606</x:v>
      </x:c>
      <x:c r="D11" s="51" t="n">
        <x:v>62.86487100000001</x:v>
      </x:c>
      <x:c r="E11" s="51" t="n">
        <x:v>60.256878</x:v>
      </x:c>
      <x:c r="F11" s="51" t="n">
        <x:v>4.3045080000000056</x:v>
      </x:c>
      <x:c r="G11" s="52" t="n">
        <x:v>0.17827199999999976</x:v>
      </x:c>
    </x:row>
    <x:row r="12" ht="15" hidden="0" customHeight="1">
      <x:c r="A12" s="50" t="n">
        <x:v>5</x:v>
      </x:c>
      <x:c r="B12" s="51" t="n">
        <x:v>67.645612</x:v>
      </x:c>
      <x:c r="C12" s="51" t="n">
        <x:v>67.5353</x:v>
      </x:c>
      <x:c r="D12" s="51" t="n">
        <x:v>65.60561849999999</x:v>
      </x:c>
      <x:c r="E12" s="51" t="n">
        <x:v>67.5353</x:v>
      </x:c>
      <x:c r="F12" s="51" t="n">
        <x:v>-2.0399935000000085</x:v>
      </x:c>
      <x:c r="G12" s="52" t="n">
        <x:v>0</x:v>
      </x:c>
    </x:row>
    <x:row r="13" ht="15" hidden="0" customHeight="1">
      <x:c r="A13" s="53" t="n">
        <x:v>5.5</x:v>
      </x:c>
      <x:c r="B13" s="54" t="n">
        <x:v>63.565625</x:v>
      </x:c>
      <x:c r="C13" s="54" t="n">
        <x:v>68.763129</x:v>
      </x:c>
      <x:c r="D13" s="54" t="n">
        <x:v>65.60561849999999</x:v>
      </x:c>
      <x:c r="E13" s="54" t="n">
        <x:v>68.763129</x:v>
      </x:c>
      <x:c r="F13" s="54" t="n">
        <x:v>2.0399934999999942</x:v>
      </x:c>
      <x:c r="G13" s="5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04" hidden="0" customWidth="1"/>
    <x:col min="3" max="3" width="8.25" hidden="0" customWidth="1"/>
    <x:col min="4" max="4" width="7.130000114440918" hidden="0" customWidth="1"/>
    <x:col min="5" max="5" width="8.25" hidden="0" customWidth="1"/>
    <x:col min="6" max="6" width="7.130000114440918" hidden="0" customWidth="1"/>
    <x:col min="7" max="7" width="8.25" hidden="0" customWidth="1"/>
    <x:col min="8" max="8" width="7.130000114440918" hidden="0" customWidth="1"/>
    <x:col min="9" max="9" width="8.25" hidden="0" customWidth="1"/>
    <x:col min="10" max="10" width="7.130000114440918" hidden="0" customWidth="1"/>
    <x:col min="11" max="11" width="8.25" hidden="0" customWidth="1"/>
    <x:col min="12" max="12" width="7.130000114440918" hidden="0" customWidth="1"/>
    <x:col min="13" max="13" width="8.25" hidden="0" customWidth="1"/>
    <x:col min="14" max="14" width="7.130000114440918" hidden="0" customWidth="1"/>
    <x:col min="15" max="15" width="15.25" hidden="0" customWidth="1"/>
    <x:col min="16" max="16" width="15.25" hidden="0" customWidth="1"/>
  </x:cols>
  <x:sheetData>
    <x:row r="1" ht="15" hidden="0" customHeight="1">
      <x:c r="A1" s="41" t="str">
        <x:v>Time (s)</x:v>
      </x:c>
      <x:c r="B1" s="42" t="str">
        <x:v>Image path</x:v>
      </x:c>
      <x:c r="C1" s="42" t="str">
        <x:v>A1_x</x:v>
      </x:c>
      <x:c r="D1" s="42" t="str">
        <x:v>A1_y</x:v>
      </x:c>
      <x:c r="E1" s="42" t="str">
        <x:v>J1_x</x:v>
      </x:c>
      <x:c r="F1" s="42" t="str">
        <x:v>J1_y</x:v>
      </x:c>
      <x:c r="G1" s="42" t="str">
        <x:v>B1_x</x:v>
      </x:c>
      <x:c r="H1" s="42" t="str">
        <x:v>B1_y</x:v>
      </x:c>
      <x:c r="I1" s="42" t="str">
        <x:v>A2_x</x:v>
      </x:c>
      <x:c r="J1" s="42" t="str">
        <x:v>A2_y</x:v>
      </x:c>
      <x:c r="K1" s="42" t="str">
        <x:v>J2_x</x:v>
      </x:c>
      <x:c r="L1" s="42" t="str">
        <x:v>J2_y</x:v>
      </x:c>
      <x:c r="M1" s="42" t="str">
        <x:v>B2_x</x:v>
      </x:c>
      <x:c r="N1" s="42" t="str">
        <x:v>B2_y</x:v>
      </x:c>
      <x:c r="O1" s="42" t="str">
        <x:v>Formula θ1 (deg)</x:v>
      </x:c>
      <x:c r="P1" s="43" t="str">
        <x:v>Formula θ2 (deg)</x:v>
      </x:c>
    </x:row>
    <x:row r="2" ht="15" hidden="0" customHeight="1">
      <x:c r="A2" s="44" t="n">
        <x:v>0</x:v>
      </x:c>
      <x:c r="B2" s="56" t="str">
        <x:v>C:\Users\HAO\Desktop\YTY_from_macbook\finger_curve_analysis\manual_theta_point_templates\manual_template_t00.0s.jpg</x:v>
      </x:c>
      <x:c r="C2" s="51" t="n">
        <x:v>1380.661</x:v>
      </x:c>
      <x:c r="D2" s="51" t="n">
        <x:v>862.597</x:v>
      </x:c>
      <x:c r="E2" s="51" t="n">
        <x:v>1283.629</x:v>
      </x:c>
      <x:c r="F2" s="51" t="n">
        <x:v>864.661</x:v>
      </x:c>
      <x:c r="G2" s="51" t="n">
        <x:v>1213.435</x:v>
      </x:c>
      <x:c r="H2" s="51" t="n">
        <x:v>862.597</x:v>
      </x:c>
      <x:c r="I2" s="51" t="n">
        <x:v>1147.371</x:v>
      </x:c>
      <x:c r="J2" s="51" t="n">
        <x:v>862.597</x:v>
      </x:c>
      <x:c r="K2" s="51" t="n">
        <x:v>1073.048</x:v>
      </x:c>
      <x:c r="L2" s="51" t="n">
        <x:v>860.532</x:v>
      </x:c>
      <x:c r="M2" s="51" t="n">
        <x:v>992.532</x:v>
      </x:c>
      <x:c r="N2" s="51" t="n">
        <x:v>862.597</x:v>
      </x:c>
      <x:c r="O2" s="51" t="n">
        <x:f>180-DEGREES(ACOS(MAX(-1,MIN(1,((C2-E2)*(G2-E2)+(D2-F2)*(H2-F2))/(SQRT((C2-E2)^2+(D2-F2)^2)*SQRT((G2-E2)^2+(H2-F2)^2))))))</x:f>
        <x:v>2.9028264076168</x:v>
      </x:c>
      <x:c r="P2" s="52" t="n">
        <x:f>180-DEGREES(ACOS(MAX(-1,MIN(1,((I2-K2)*(M2-K2)+(J2-L2)*(N2-L2))/(SQRT((I2-K2)^2+(J2-L2)^2)*SQRT((M2-K2)^2+(N2-L2)^2))))))</x:f>
        <x:v>3.0606511947702018</x:v>
      </x:c>
    </x:row>
    <x:row r="3" ht="15" hidden="0" customHeight="1">
      <x:c r="A3" s="44" t="n">
        <x:v>0.5</x:v>
      </x:c>
      <x:c r="B3" s="56" t="str">
        <x:v>C:\Users\HAO\Desktop\YTY_from_macbook\finger_curve_analysis\manual_theta_point_templates\manual_template_t00.5s.jpg</x:v>
      </x:c>
      <x:c r="C3" s="51" t="n">
        <x:v>1370.339</x:v>
      </x:c>
      <x:c r="D3" s="51" t="n">
        <x:v>846.081</x:v>
      </x:c>
      <x:c r="E3" s="51" t="n">
        <x:v>1283.629</x:v>
      </x:c>
      <x:c r="F3" s="51" t="n">
        <x:v>850.21</x:v>
      </x:c>
      <x:c r="G3" s="51" t="n">
        <x:v>1213.435</x:v>
      </x:c>
      <x:c r="H3" s="51" t="n">
        <x:v>850.21</x:v>
      </x:c>
      <x:c r="I3" s="51" t="n">
        <x:v>1141.177</x:v>
      </x:c>
      <x:c r="J3" s="51" t="n">
        <x:v>852.274</x:v>
      </x:c>
      <x:c r="K3" s="51" t="n">
        <x:v>1070.984</x:v>
      </x:c>
      <x:c r="L3" s="51" t="n">
        <x:v>850.21</x:v>
      </x:c>
      <x:c r="M3" s="51" t="n">
        <x:v>992.532</x:v>
      </x:c>
      <x:c r="N3" s="51" t="n">
        <x:v>850.21</x:v>
      </x:c>
      <x:c r="O3" s="51" t="n">
        <x:f>180-DEGREES(ACOS(MAX(-1,MIN(1,((C3-E3)*(G3-E3)+(D3-F3)*(H3-F3))/(SQRT((C3-E3)^2+(D3-F3)^2)*SQRT((G3-E3)^2+(H3-F3)^2))))))</x:f>
        <x:v>2.7262795996294926</x:v>
      </x:c>
      <x:c r="P3" s="52" t="n">
        <x:f>180-DEGREES(ACOS(MAX(-1,MIN(1,((I3-K3)*(M3-K3)+(J3-L3)*(N3-L3))/(SQRT((I3-K3)^2+(J3-L3)^2)*SQRT((M3-K3)^2+(N3-L3)^2))))))</x:f>
        <x:v>1.6842765402650741</x:v>
      </x:c>
    </x:row>
    <x:row r="4" ht="15" hidden="0" customHeight="1">
      <x:c r="A4" s="44" t="n">
        <x:v>1</x:v>
      </x:c>
      <x:c r="B4" s="56" t="str">
        <x:v>C:\Users\HAO\Desktop\YTY_from_macbook\finger_curve_analysis\manual_theta_point_templates\manual_template_t01.0s.jpg</x:v>
      </x:c>
      <x:c r="C4" s="51" t="n">
        <x:v>1362.081</x:v>
      </x:c>
      <x:c r="D4" s="51" t="n">
        <x:v>839.887</x:v>
      </x:c>
      <x:c r="E4" s="51" t="n">
        <x:v>1283.629</x:v>
      </x:c>
      <x:c r="F4" s="51" t="n">
        <x:v>839.887</x:v>
      </x:c>
      <x:c r="G4" s="51" t="n">
        <x:v>1205.177</x:v>
      </x:c>
      <x:c r="H4" s="51" t="n">
        <x:v>839.887</x:v>
      </x:c>
      <x:c r="I4" s="51" t="n">
        <x:v>1126.726</x:v>
      </x:c>
      <x:c r="J4" s="51" t="n">
        <x:v>841.952</x:v>
      </x:c>
      <x:c r="K4" s="51" t="n">
        <x:v>1068.919</x:v>
      </x:c>
      <x:c r="L4" s="51" t="n">
        <x:v>846.081</x:v>
      </x:c>
      <x:c r="M4" s="51" t="n">
        <x:v>1013.177</x:v>
      </x:c>
      <x:c r="N4" s="51" t="n">
        <x:v>846.081</x:v>
      </x:c>
      <x:c r="O4" s="51" t="n">
        <x:f>180-DEGREES(ACOS(MAX(-1,MIN(1,((C4-E4)*(G4-E4)+(D4-F4)*(H4-F4))/(SQRT((C4-E4)^2+(D4-F4)^2)*SQRT((G4-E4)^2+(H4-F4)^2))))))</x:f>
        <x:v>0</x:v>
      </x:c>
      <x:c r="P4" s="52" t="n">
        <x:f>180-DEGREES(ACOS(MAX(-1,MIN(1,((I4-K4)*(M4-K4)+(J4-L4)*(N4-L4))/(SQRT((I4-K4)^2+(J4-L4)^2)*SQRT((M4-K4)^2+(N4-L4)^2))))))</x:f>
        <x:v>4.085546342456269</x:v>
      </x:c>
    </x:row>
    <x:row r="5" ht="15" hidden="0" customHeight="1">
      <x:c r="A5" s="44" t="n">
        <x:v>1.5</x:v>
      </x:c>
      <x:c r="B5" s="56" t="str">
        <x:v>C:\Users\HAO\Desktop\YTY_from_macbook\finger_curve_analysis\manual_theta_point_templates\manual_template_t01.5s.jpg</x:v>
      </x:c>
      <x:c r="C5" s="51" t="n">
        <x:v>1347.629</x:v>
      </x:c>
      <x:c r="D5" s="51" t="n">
        <x:v>720.145</x:v>
      </x:c>
      <x:c r="E5" s="51" t="n">
        <x:v>1271.242</x:v>
      </x:c>
      <x:c r="F5" s="51" t="n">
        <x:v>751.113</x:v>
      </x:c>
      <x:c r="G5" s="51" t="n">
        <x:v>1196.919</x:v>
      </x:c>
      <x:c r="H5" s="51" t="n">
        <x:v>769.694</x:v>
      </x:c>
      <x:c r="I5" s="51" t="n">
        <x:v>1122.597</x:v>
      </x:c>
      <x:c r="J5" s="51" t="n">
        <x:v>788.274</x:v>
      </x:c>
      <x:c r="K5" s="51" t="n">
        <x:v>1066.855</x:v>
      </x:c>
      <x:c r="L5" s="51" t="n">
        <x:v>808.919</x:v>
      </x:c>
      <x:c r="M5" s="51" t="n">
        <x:v>996.661</x:v>
      </x:c>
      <x:c r="N5" s="51" t="n">
        <x:v>821.306</x:v>
      </x:c>
      <x:c r="O5" s="51" t="n">
        <x:f>180-DEGREES(ACOS(MAX(-1,MIN(1,((C5-E5)*(G5-E5)+(D5-F5)*(H5-F5))/(SQRT((C5-E5)^2+(D5-F5)^2)*SQRT((G5-E5)^2+(H5-F5)^2))))))</x:f>
        <x:v>8.031666223422093</x:v>
      </x:c>
      <x:c r="P5" s="52" t="n">
        <x:f>180-DEGREES(ACOS(MAX(-1,MIN(1,((I5-K5)*(M5-K5)+(J5-L5)*(N5-L5))/(SQRT((I5-K5)^2+(J5-L5)^2)*SQRT((M5-K5)^2+(N5-L5)^2))))))</x:f>
        <x:v>10.31512933564045</x:v>
      </x:c>
    </x:row>
    <x:row r="6" ht="15" hidden="0" customHeight="1">
      <x:c r="A6" s="44" t="n">
        <x:v>2</x:v>
      </x:c>
      <x:c r="B6" s="56" t="str">
        <x:v>C:\Users\HAO\Desktop\YTY_from_macbook\finger_curve_analysis\manual_theta_point_templates\manual_template_t02.0s.jpg</x:v>
      </x:c>
      <x:c r="C6" s="51" t="n">
        <x:v>949.177</x:v>
      </x:c>
      <x:c r="D6" s="51" t="n">
        <x:v>422.855</x:v>
      </x:c>
      <x:c r="E6" s="51" t="n">
        <x:v>992.532</x:v>
      </x:c>
      <x:c r="F6" s="51" t="n">
        <x:v>472.403</x:v>
      </x:c>
      <x:c r="G6" s="51" t="n">
        <x:v>1000.79</x:v>
      </x:c>
      <x:c r="H6" s="51" t="n">
        <x:v>542.597</x:v>
      </x:c>
      <x:c r="I6" s="51" t="n">
        <x:v>1002.855</x:v>
      </x:c>
      <x:c r="J6" s="51" t="n">
        <x:v>621.048</x:v>
      </x:c>
      <x:c r="K6" s="51" t="n">
        <x:v>1000.79</x:v>
      </x:c>
      <x:c r="L6" s="51" t="n">
        <x:v>682.984</x:v>
      </x:c>
      <x:c r="M6" s="51" t="n">
        <x:v>961.565</x:v>
      </x:c>
      <x:c r="N6" s="51" t="n">
        <x:v>734.597</x:v>
      </x:c>
      <x:c r="O6" s="51" t="n">
        <x:f>180-DEGREES(ACOS(MAX(-1,MIN(1,((C6-E6)*(G6-E6)+(D6-F6)*(H6-F6))/(SQRT((C6-E6)^2+(D6-F6)^2)*SQRT((G6-E6)^2+(H6-F6)^2))))))</x:f>
        <x:v>34.47651054201779</x:v>
      </x:c>
      <x:c r="P6" s="52" t="n">
        <x:f>180-DEGREES(ACOS(MAX(-1,MIN(1,((I6-K6)*(M6-K6)+(J6-L6)*(N6-L6))/(SQRT((I6-K6)^2+(J6-L6)^2)*SQRT((M6-K6)^2+(N6-L6)^2))))))</x:f>
        <x:v>35.32463109238151</x:v>
      </x:c>
    </x:row>
    <x:row r="7" ht="15" hidden="0" customHeight="1">
      <x:c r="A7" s="44" t="n">
        <x:v>2.5</x:v>
      </x:c>
      <x:c r="B7" s="56" t="str">
        <x:v>C:\Users\HAO\Desktop\YTY_from_macbook\finger_curve_analysis\manual_theta_point_templates\manual_template_t02.5s.jpg</x:v>
      </x:c>
      <x:c r="C7" s="51" t="n">
        <x:v>779.887</x:v>
      </x:c>
      <x:c r="D7" s="51" t="n">
        <x:v>474.468</x:v>
      </x:c>
      <x:c r="E7" s="51" t="n">
        <x:v>831.5</x:v>
      </x:c>
      <x:c r="F7" s="51" t="n">
        <x:v>482.726</x:v>
      </x:c>
      <x:c r="G7" s="51" t="n">
        <x:v>868.661</x:v>
      </x:c>
      <x:c r="H7" s="51" t="n">
        <x:v>519.887</x:v>
      </x:c>
      <x:c r="I7" s="51" t="n">
        <x:v>922.339</x:v>
      </x:c>
      <x:c r="J7" s="51" t="n">
        <x:v>598.339</x:v>
      </x:c>
      <x:c r="K7" s="51" t="n">
        <x:v>955.371</x:v>
      </x:c>
      <x:c r="L7" s="51" t="n">
        <x:v>647.887</x:v>
      </x:c>
      <x:c r="M7" s="51" t="n">
        <x:v>936.79</x:v>
      </x:c>
      <x:c r="N7" s="51" t="n">
        <x:v>709.823</x:v>
      </x:c>
      <x:c r="O7" s="51" t="n">
        <x:f>180-DEGREES(ACOS(MAX(-1,MIN(1,((C7-E7)*(G7-E7)+(D7-F7)*(H7-F7))/(SQRT((C7-E7)^2+(D7-F7)^2)*SQRT((G7-E7)^2+(H7-F7)^2))))))</x:f>
        <x:v>35.90980967074677</x:v>
      </x:c>
      <x:c r="P7" s="52" t="n">
        <x:f>180-DEGREES(ACOS(MAX(-1,MIN(1,((I7-K7)*(M7-K7)+(J7-L7)*(N7-L7))/(SQRT((I7-K7)^2+(J7-L7)^2)*SQRT((M7-K7)^2+(N7-L7)^2))))))</x:f>
        <x:v>50.389481499345095</x:v>
      </x:c>
    </x:row>
    <x:row r="8" ht="15" hidden="0" customHeight="1">
      <x:c r="A8" s="44" t="n">
        <x:v>3</x:v>
      </x:c>
      <x:c r="B8" s="56" t="str">
        <x:v>C:\Users\HAO\Desktop\YTY_from_macbook\finger_curve_analysis\manual_theta_point_templates\manual_template_t03.0s.jpg</x:v>
      </x:c>
      <x:c r="C8" s="51" t="n">
        <x:v>701.435</x:v>
      </x:c>
      <x:c r="D8" s="51" t="n">
        <x:v>524.016</x:v>
      </x:c>
      <x:c r="E8" s="51" t="n">
        <x:v>773.694</x:v>
      </x:c>
      <x:c r="F8" s="51" t="n">
        <x:v>503.371</x:v>
      </x:c>
      <x:c r="G8" s="51" t="n">
        <x:v>825.306</x:v>
      </x:c>
      <x:c r="H8" s="51" t="n">
        <x:v>536.403</x:v>
      </x:c>
      <x:c r="I8" s="51" t="n">
        <x:v>893.435</x:v>
      </x:c>
      <x:c r="J8" s="51" t="n">
        <x:v>604.532</x:v>
      </x:c>
      <x:c r="K8" s="51" t="n">
        <x:v>930.597</x:v>
      </x:c>
      <x:c r="L8" s="51" t="n">
        <x:v>645.823</x:v>
      </x:c>
      <x:c r="M8" s="51" t="n">
        <x:v>916.145</x:v>
      </x:c>
      <x:c r="N8" s="51" t="n">
        <x:v>709.823</x:v>
      </x:c>
      <x:c r="O8" s="51" t="n">
        <x:f>180-DEGREES(ACOS(MAX(-1,MIN(1,((C8-E8)*(G8-E8)+(D8-F8)*(H8-F8))/(SQRT((C8-E8)^2+(D8-F8)^2)*SQRT((G8-E8)^2+(H8-F8)^2))))))</x:f>
        <x:v>48.564576808906224</x:v>
      </x:c>
      <x:c r="P8" s="52" t="n">
        <x:f>180-DEGREES(ACOS(MAX(-1,MIN(1,((I8-K8)*(M8-K8)+(J8-L8)*(N8-L8))/(SQRT((I8-K8)^2+(J8-L8)^2)*SQRT((M8-K8)^2+(N8-L8)^2))))))</x:f>
        <x:v>54.71197457859542</x:v>
      </x:c>
    </x:row>
    <x:row r="9" ht="15" hidden="0" customHeight="1">
      <x:c r="A9" s="44" t="n">
        <x:v>3.5</x:v>
      </x:c>
      <x:c r="B9" s="56" t="str">
        <x:v>C:\Users\HAO\Desktop\YTY_from_macbook\finger_curve_analysis\manual_theta_point_templates\manual_template_t03.5s.jpg</x:v>
      </x:c>
      <x:c r="C9" s="51" t="n">
        <x:v>680.79</x:v>
      </x:c>
      <x:c r="D9" s="51" t="n">
        <x:v>542.597</x:v>
      </x:c>
      <x:c r="E9" s="51" t="n">
        <x:v>750.984</x:v>
      </x:c>
      <x:c r="F9" s="51" t="n">
        <x:v>517.823</x:v>
      </x:c>
      <x:c r="G9" s="51" t="n">
        <x:v>804.661</x:v>
      </x:c>
      <x:c r="H9" s="51" t="n">
        <x:v>546.726</x:v>
      </x:c>
      <x:c r="I9" s="51" t="n">
        <x:v>878.984</x:v>
      </x:c>
      <x:c r="J9" s="51" t="n">
        <x:v>602.468</x:v>
      </x:c>
      <x:c r="K9" s="51" t="n">
        <x:v>924.403</x:v>
      </x:c>
      <x:c r="L9" s="51" t="n">
        <x:v>643.758</x:v>
      </x:c>
      <x:c r="M9" s="51" t="n">
        <x:v>909.952</x:v>
      </x:c>
      <x:c r="N9" s="51" t="n">
        <x:v>720.145</x:v>
      </x:c>
      <x:c r="O9" s="51" t="n">
        <x:f>180-DEGREES(ACOS(MAX(-1,MIN(1,((C9-E9)*(G9-E9)+(D9-F9)*(H9-F9))/(SQRT((C9-E9)^2+(D9-F9)^2)*SQRT((G9-E9)^2+(H9-F9)^2))))))</x:f>
        <x:v>47.74053441718161</x:v>
      </x:c>
      <x:c r="P9" s="52" t="n">
        <x:f>180-DEGREES(ACOS(MAX(-1,MIN(1,((I9-K9)*(M9-K9)+(J9-L9)*(N9-L9))/(SQRT((I9-K9)^2+(J9-L9)^2)*SQRT((M9-K9)^2+(N9-L9)^2))))))</x:f>
        <x:v>58.43900343856468</x:v>
      </x:c>
    </x:row>
    <x:row r="10" ht="15" hidden="0" customHeight="1">
      <x:c r="A10" s="44" t="n">
        <x:v>4</x:v>
      </x:c>
      <x:c r="B10" s="56" t="str">
        <x:v>C:\Users\HAO\Desktop\YTY_from_macbook\finger_curve_analysis\manual_theta_point_templates\manual_template_t04.0s.jpg</x:v>
      </x:c>
      <x:c r="C10" s="51" t="n">
        <x:v>639.5</x:v>
      </x:c>
      <x:c r="D10" s="51" t="n">
        <x:v>590.081</x:v>
      </x:c>
      <x:c r="E10" s="51" t="n">
        <x:v>734.468</x:v>
      </x:c>
      <x:c r="F10" s="51" t="n">
        <x:v>519.887</x:v>
      </x:c>
      <x:c r="G10" s="51" t="n">
        <x:v>800.532</x:v>
      </x:c>
      <x:c r="H10" s="51" t="n">
        <x:v>559.113</x:v>
      </x:c>
      <x:c r="I10" s="51" t="n">
        <x:v>858.339</x:v>
      </x:c>
      <x:c r="J10" s="51" t="n">
        <x:v>594.21</x:v>
      </x:c>
      <x:c r="K10" s="51" t="n">
        <x:v>916.145</x:v>
      </x:c>
      <x:c r="L10" s="51" t="n">
        <x:v>637.565</x:v>
      </x:c>
      <x:c r="M10" s="51" t="n">
        <x:v>905.823</x:v>
      </x:c>
      <x:c r="N10" s="51" t="n">
        <x:v>718.081</x:v>
      </x:c>
      <x:c r="O10" s="51" t="n">
        <x:f>180-DEGREES(ACOS(MAX(-1,MIN(1,((C10-E10)*(G10-E10)+(D10-F10)*(H10-F10))/(SQRT((C10-E10)^2+(D10-F10)^2)*SQRT((G10-E10)^2+(H10-F10)^2))))))</x:f>
        <x:v>67.16937933235822</x:v>
      </x:c>
      <x:c r="P10" s="52" t="n">
        <x:f>180-DEGREES(ACOS(MAX(-1,MIN(1,((I10-K10)*(M10-K10)+(J10-L10)*(N10-L10))/(SQRT((I10-K10)^2+(J10-L10)^2)*SQRT((M10-K10)^2+(N10-L10)^2))))))</x:f>
        <x:v>60.43514978460634</x:v>
      </x:c>
    </x:row>
    <x:row r="11" ht="15" hidden="0" customHeight="1">
      <x:c r="A11" s="44" t="n">
        <x:v>4.5</x:v>
      </x:c>
      <x:c r="B11" s="56" t="str">
        <x:v>C:\Users\HAO\Desktop\YTY_from_macbook\finger_curve_analysis\manual_theta_point_templates\manual_template_t04.5s.jpg</x:v>
      </x:c>
      <x:c r="C11" s="51" t="n">
        <x:v>660.145</x:v>
      </x:c>
      <x:c r="D11" s="51" t="n">
        <x:v>571.5</x:v>
      </x:c>
      <x:c r="E11" s="51" t="n">
        <x:v>724.145</x:v>
      </x:c>
      <x:c r="F11" s="51" t="n">
        <x:v>526.081</x:v>
      </x:c>
      <x:c r="G11" s="51" t="n">
        <x:v>796.403</x:v>
      </x:c>
      <x:c r="H11" s="51" t="n">
        <x:v>557.048</x:v>
      </x:c>
      <x:c r="I11" s="51" t="n">
        <x:v>854.21</x:v>
      </x:c>
      <x:c r="J11" s="51" t="n">
        <x:v>590.081</x:v>
      </x:c>
      <x:c r="K11" s="51" t="n">
        <x:v>914.081</x:v>
      </x:c>
      <x:c r="L11" s="51" t="n">
        <x:v>639.629</x:v>
      </x:c>
      <x:c r="M11" s="51" t="n">
        <x:v>899.629</x:v>
      </x:c>
      <x:c r="N11" s="51" t="n">
        <x:v>724.274</x:v>
      </x:c>
      <x:c r="O11" s="51" t="n">
        <x:f>180-DEGREES(ACOS(MAX(-1,MIN(1,((C11-E11)*(G11-E11)+(D11-F11)*(H11-F11))/(SQRT((C11-E11)^2+(D11-F11)^2)*SQRT((G11-E11)^2+(H11-F11)^2))))))</x:f>
        <x:v>58.56036263838024</x:v>
      </x:c>
      <x:c r="P11" s="52" t="n">
        <x:f>180-DEGREES(ACOS(MAX(-1,MIN(1,((I11-K11)*(M11-K11)+(J11-L11)*(N11-L11))/(SQRT((I11-K11)^2+(J11-L11)^2)*SQRT((M11-K11)^2+(N11-L11)^2))))))</x:f>
        <x:v>60.07860606105717</x:v>
      </x:c>
    </x:row>
    <x:row r="12" ht="15" hidden="0" customHeight="1">
      <x:c r="A12" s="44" t="n">
        <x:v>5</x:v>
      </x:c>
      <x:c r="B12" s="56" t="str">
        <x:v>C:\Users\HAO\Desktop\YTY_from_macbook\finger_curve_analysis\manual_theta_point_templates\manual_template_t05.0s.jpg</x:v>
      </x:c>
      <x:c r="C12" s="51" t="n">
        <x:v>643.629</x:v>
      </x:c>
      <x:c r="D12" s="51" t="n">
        <x:v>592.145</x:v>
      </x:c>
      <x:c r="E12" s="51" t="n">
        <x:v>720.016</x:v>
      </x:c>
      <x:c r="F12" s="51" t="n">
        <x:v>530.21</x:v>
      </x:c>
      <x:c r="G12" s="51" t="n">
        <x:v>788.145</x:v>
      </x:c>
      <x:c r="H12" s="51" t="n">
        <x:v>567.371</x:v>
      </x:c>
      <x:c r="I12" s="51" t="n">
        <x:v>843.887</x:v>
      </x:c>
      <x:c r="J12" s="51" t="n">
        <x:v>596.274</x:v>
      </x:c>
      <x:c r="K12" s="51" t="n">
        <x:v>907.887</x:v>
      </x:c>
      <x:c r="L12" s="51" t="n">
        <x:v>635.5</x:v>
      </x:c>
      <x:c r="M12" s="51" t="n">
        <x:v>893.435</x:v>
      </x:c>
      <x:c r="N12" s="51" t="n">
        <x:v>726.339</x:v>
      </x:c>
      <x:c r="O12" s="51" t="n">
        <x:f>180-DEGREES(ACOS(MAX(-1,MIN(1,((C12-E12)*(G12-E12)+(D12-F12)*(H12-F12))/(SQRT((C12-E12)^2+(D12-F12)^2)*SQRT((G12-E12)^2+(H12-F12)^2))))))</x:f>
        <x:v>67.64561232686087</x:v>
      </x:c>
      <x:c r="P12" s="52" t="n">
        <x:f>180-DEGREES(ACOS(MAX(-1,MIN(1,((I12-K12)*(M12-K12)+(J12-L12)*(N12-L12))/(SQRT((I12-K12)^2+(J12-L12)^2)*SQRT((M12-K12)^2+(N12-L12)^2))))))</x:f>
        <x:v>67.53529984370162</x:v>
      </x:c>
    </x:row>
    <x:row r="13" ht="15" hidden="0" customHeight="1">
      <x:c r="A13" s="47" t="n">
        <x:v>5.5</x:v>
      </x:c>
      <x:c r="B13" s="57" t="str">
        <x:v>C:\Users\HAO\Desktop\YTY_from_macbook\finger_curve_analysis\manual_theta_point_templates\manual_template_t05.5s.jpg</x:v>
      </x:c>
      <x:c r="C13" s="54" t="n">
        <x:v>633.306</x:v>
      </x:c>
      <x:c r="D13" s="54" t="n">
        <x:v>606.597</x:v>
      </x:c>
      <x:c r="E13" s="54" t="n">
        <x:v>715.887</x:v>
      </x:c>
      <x:c r="F13" s="54" t="n">
        <x:v>534.339</x:v>
      </x:c>
      <x:c r="G13" s="54" t="n">
        <x:v>786.081</x:v>
      </x:c>
      <x:c r="H13" s="54" t="n">
        <x:v>563.242</x:v>
      </x:c>
      <x:c r="I13" s="54" t="n">
        <x:v>839.758</x:v>
      </x:c>
      <x:c r="J13" s="54" t="n">
        <x:v>592.145</x:v>
      </x:c>
      <x:c r="K13" s="54" t="n">
        <x:v>905.823</x:v>
      </x:c>
      <x:c r="L13" s="54" t="n">
        <x:v>631.371</x:v>
      </x:c>
      <x:c r="M13" s="54" t="n">
        <x:v>889.306</x:v>
      </x:c>
      <x:c r="N13" s="54" t="n">
        <x:v>730.468</x:v>
      </x:c>
      <x:c r="O13" s="54" t="n">
        <x:f>180-DEGREES(ACOS(MAX(-1,MIN(1,((C13-E13)*(G13-E13)+(D13-F13)*(H13-F13))/(SQRT((C13-E13)^2+(D13-F13)^2)*SQRT((G13-E13)^2+(H13-F13)^2))))))</x:f>
        <x:v>63.56562548061723</x:v>
      </x:c>
      <x:c r="P13" s="55" t="n">
        <x:f>180-DEGREES(ACOS(MAX(-1,MIN(1,((I13-K13)*(M13-K13)+(J13-L13)*(N13-L13))/(SQRT((I13-K13)^2+(J13-L13)^2)*SQRT((M13-K13)^2+(N13-L13)^2))))))</x:f>
        <x:v>68.76312856377808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1.880000114440918" hidden="0" customWidth="1"/>
    <x:col min="3" max="3" width="16.75" hidden="0" customWidth="1"/>
    <x:col min="4" max="4" width="17" hidden="0" customWidth="1"/>
    <x:col min="5" max="5" width="11.880000114440918" hidden="0" customWidth="1"/>
    <x:col min="6" max="6" width="16.75" hidden="0" customWidth="1"/>
    <x:col min="7" max="7" width="17" hidden="0" customWidth="1"/>
  </x:cols>
  <x:sheetData>
    <x:row r="1" ht="15" hidden="0" customHeight="1">
      <x:c r="A1" s="41" t="str">
        <x:v>Time (s)</x:v>
      </x:c>
      <x:c r="B1" s="42" t="str">
        <x:v>Raw θ1 (deg)</x:v>
      </x:c>
      <x:c r="C1" s="42" t="str">
        <x:v>Corrected θ1 (deg)</x:v>
      </x:c>
      <x:c r="D1" s="42" t="str">
        <x:v>θ1 correction (deg)</x:v>
      </x:c>
      <x:c r="E1" s="42" t="str">
        <x:v>Raw θ2 (deg)</x:v>
      </x:c>
      <x:c r="F1" s="42" t="str">
        <x:v>Corrected θ2 (deg)</x:v>
      </x:c>
      <x:c r="G1" s="43" t="str">
        <x:v>θ2 correction (deg)</x:v>
      </x:c>
    </x:row>
    <x:row r="2" ht="15" hidden="0" customHeight="1">
      <x:c r="A2" s="50" t="n">
        <x:v>0</x:v>
      </x:c>
      <x:c r="B2" s="51" t="n">
        <x:v>2.902826</x:v>
      </x:c>
      <x:c r="C2" s="51" t="n">
        <x:v>0</x:v>
      </x:c>
      <x:c r="D2" s="51" t="n">
        <x:v>-2.902826</x:v>
      </x:c>
      <x:c r="E2" s="51" t="n">
        <x:v>3.060651</x:v>
      </x:c>
      <x:c r="F2" s="51" t="n">
        <x:v>0</x:v>
      </x:c>
      <x:c r="G2" s="52" t="n">
        <x:v>-3.060651</x:v>
      </x:c>
    </x:row>
    <x:row r="3" ht="15" hidden="0" customHeight="1">
      <x:c r="A3" s="50" t="n">
        <x:v>0.5</x:v>
      </x:c>
      <x:c r="B3" s="51" t="n">
        <x:v>2.72628</x:v>
      </x:c>
      <x:c r="C3" s="51" t="n">
        <x:v>0</x:v>
      </x:c>
      <x:c r="D3" s="51" t="n">
        <x:v>-2.72628</x:v>
      </x:c>
      <x:c r="E3" s="51" t="n">
        <x:v>1.684277</x:v>
      </x:c>
      <x:c r="F3" s="51" t="n">
        <x:v>0</x:v>
      </x:c>
      <x:c r="G3" s="52" t="n">
        <x:v>-1.684277</x:v>
      </x:c>
    </x:row>
    <x:row r="4" ht="15" hidden="0" customHeight="1">
      <x:c r="A4" s="50" t="n">
        <x:v>1</x:v>
      </x:c>
      <x:c r="B4" s="51" t="n">
        <x:v>0</x:v>
      </x:c>
      <x:c r="C4" s="51" t="n">
        <x:v>0</x:v>
      </x:c>
      <x:c r="D4" s="51" t="n">
        <x:v>0</x:v>
      </x:c>
      <x:c r="E4" s="51" t="n">
        <x:v>4.085546</x:v>
      </x:c>
      <x:c r="F4" s="51" t="n">
        <x:v>0</x:v>
      </x:c>
      <x:c r="G4" s="52" t="n">
        <x:v>-4.085546</x:v>
      </x:c>
    </x:row>
    <x:row r="5" ht="15" hidden="0" customHeight="1">
      <x:c r="A5" s="50" t="n">
        <x:v>4</x:v>
      </x:c>
      <x:c r="B5" s="51" t="n">
        <x:v>67.169379</x:v>
      </x:c>
      <x:c r="C5" s="51" t="n">
        <x:v>62.86487100000001</x:v>
      </x:c>
      <x:c r="D5" s="51" t="n">
        <x:v>-4.3045079999999984</x:v>
      </x:c>
      <x:c r="E5" s="51" t="n">
        <x:v>60.43515</x:v>
      </x:c>
      <x:c r="F5" s="51" t="n">
        <x:v>60.256878</x:v>
      </x:c>
      <x:c r="G5" s="52" t="n">
        <x:v>-0.17827199999999976</x:v>
      </x:c>
    </x:row>
    <x:row r="6" ht="15" hidden="0" customHeight="1">
      <x:c r="A6" s="50" t="n">
        <x:v>4.5</x:v>
      </x:c>
      <x:c r="B6" s="51" t="n">
        <x:v>58.560363</x:v>
      </x:c>
      <x:c r="C6" s="51" t="n">
        <x:v>62.86487100000001</x:v>
      </x:c>
      <x:c r="D6" s="51" t="n">
        <x:v>4.3045080000000056</x:v>
      </x:c>
      <x:c r="E6" s="51" t="n">
        <x:v>60.078606</x:v>
      </x:c>
      <x:c r="F6" s="51" t="n">
        <x:v>60.256878</x:v>
      </x:c>
      <x:c r="G6" s="52" t="n">
        <x:v>0.17827199999999976</x:v>
      </x:c>
    </x:row>
    <x:row r="7" ht="15" hidden="0" customHeight="1">
      <x:c r="A7" s="50" t="n">
        <x:v>5</x:v>
      </x:c>
      <x:c r="B7" s="51" t="n">
        <x:v>67.645612</x:v>
      </x:c>
      <x:c r="C7" s="51" t="n">
        <x:v>65.60561849999999</x:v>
      </x:c>
      <x:c r="D7" s="51" t="n">
        <x:v>-2.0399935000000085</x:v>
      </x:c>
      <x:c r="E7" s="51" t="n">
        <x:v>67.5353</x:v>
      </x:c>
      <x:c r="F7" s="51" t="n">
        <x:v>67.5353</x:v>
      </x:c>
      <x:c r="G7" s="52" t="n">
        <x:v>0</x:v>
      </x:c>
    </x:row>
    <x:row r="8" ht="15" hidden="0" customHeight="1">
      <x:c r="A8" s="53" t="n">
        <x:v>5.5</x:v>
      </x:c>
      <x:c r="B8" s="54" t="n">
        <x:v>63.565625</x:v>
      </x:c>
      <x:c r="C8" s="54" t="n">
        <x:v>65.60561849999999</x:v>
      </x:c>
      <x:c r="D8" s="54" t="n">
        <x:v>2.0399934999999942</x:v>
      </x:c>
      <x:c r="E8" s="54" t="n">
        <x:v>68.763129</x:v>
      </x:c>
      <x:c r="F8" s="54" t="n">
        <x:v>68.763129</x:v>
      </x:c>
      <x:c r="G8" s="55" t="n">
        <x:v>0</x:v>
      </x:c>
    </x:row>
  </x:sheetData>
  <x:pageMargins left="0.7" right="0.7" top="0.75" bottom="0.75" header="0.3" footer="0.3"/>
</x:worksheet>
</file>